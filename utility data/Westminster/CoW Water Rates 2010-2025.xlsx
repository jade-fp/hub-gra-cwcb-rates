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o365coloradoedu.sharepoint.com/sites/CEAE-HUB/Shared Documents/General/1 Projects/2025 Elasticity and Rate Structures CWCB/Jade/hub-gra-cwcb-rates/utility data/Westminster/"/>
    </mc:Choice>
  </mc:AlternateContent>
  <xr:revisionPtr revIDLastSave="141" documentId="13_ncr:1_{AB528C43-7210-4C1F-923F-CDC5F2149901}" xr6:coauthVersionLast="47" xr6:coauthVersionMax="47" xr10:uidLastSave="{268C1F2B-86FC-4C46-ADF9-1FFD8F07DEDF}"/>
  <bookViews>
    <workbookView xWindow="-110" yWindow="-110" windowWidth="25820" windowHeight="15500" xr2:uid="{71E9F7F9-D1FB-4046-B409-886DDE225C90}"/>
  </bookViews>
  <sheets>
    <sheet name="Import-Prep" sheetId="3" r:id="rId1"/>
    <sheet name="SingleFamily" sheetId="1" r:id="rId2"/>
    <sheet name="MultiFamily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3" l="1" a="1"/>
  <c r="D20" i="3" s="1"/>
  <c r="B20" i="3" a="1"/>
  <c r="B20" i="3" s="1"/>
  <c r="H17" i="3" a="1"/>
  <c r="H17" i="3" s="1"/>
  <c r="F17" i="3" a="1"/>
  <c r="F17" i="3" s="1"/>
  <c r="D17" i="3" a="1"/>
  <c r="D17" i="3" s="1"/>
  <c r="H16" i="3"/>
  <c r="H15" i="3"/>
  <c r="H14" i="3"/>
  <c r="F16" i="3"/>
  <c r="F15" i="3"/>
  <c r="F14" i="3"/>
  <c r="D16" i="3"/>
  <c r="D15" i="3"/>
  <c r="D14" i="3"/>
  <c r="H2" i="3" a="1"/>
  <c r="H2" i="3" s="1"/>
  <c r="F2" i="3" a="1"/>
  <c r="F2" i="3" s="1"/>
  <c r="D2" i="3" a="1"/>
  <c r="D2" i="3" s="1"/>
  <c r="B17" i="3" a="1"/>
  <c r="B17" i="3" s="1"/>
  <c r="B16" i="3"/>
  <c r="B15" i="3"/>
  <c r="B14" i="3"/>
  <c r="B2" i="3" a="1"/>
  <c r="B2" i="3" s="1"/>
  <c r="B24" i="1"/>
  <c r="B23" i="1"/>
  <c r="B22" i="1"/>
  <c r="C24" i="1"/>
  <c r="C23" i="1"/>
  <c r="C22" i="1"/>
  <c r="D24" i="1"/>
  <c r="D23" i="1"/>
  <c r="D2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<sst xmlns="http://schemas.openxmlformats.org/spreadsheetml/2006/main" count="38" uniqueCount="29">
  <si>
    <t>Block 1  1-6,000 gallons</t>
  </si>
  <si>
    <t>Block 2   6,001-20,000 gallons</t>
  </si>
  <si>
    <t>Block 3  Over 20,000 gallons</t>
  </si>
  <si>
    <t>Notes</t>
  </si>
  <si>
    <t>significant price increases in T2 and T3 based on recommendation of 2018 cost-of-service study and council adoption</t>
  </si>
  <si>
    <t>zero increase per COVID economic challenges (zero increase for 2022 as well)</t>
  </si>
  <si>
    <t>new council (following recall elections and water rates as primary political topic) seeks "rate relief" eliminating T3 price</t>
  </si>
  <si>
    <t>additional rate changes expand volume in tiers and reduce pricing further</t>
  </si>
  <si>
    <t>Tier 1 (1,000 - 8,000 gallons)</t>
  </si>
  <si>
    <t>Tier 2 (9,000 - 40,000 gallons)</t>
  </si>
  <si>
    <t>Tier 3 (Over 41,000 gallons)</t>
  </si>
  <si>
    <t>SF rates are applicable to accounts with StrType A, B or P</t>
  </si>
  <si>
    <t>Some SF accounts (a few hundred perhaps) are duplex/triplex where the #Unit value is not 1, rather 2 or 3</t>
  </si>
  <si>
    <t>e.g., a duplex (2-unit) at the 2025 rates would have T1 from 1,000 - 16,000 gal, T2 from 17,000 - 80,000, T3 81,000+</t>
  </si>
  <si>
    <t xml:space="preserve">In these cases, the price for each tier remains the same, but the volume available in each tier is multiplied by the unit count </t>
  </si>
  <si>
    <t>Multi/HOA/Irrigation: Apartments, HOAs, Residential Irrigation, Public, Government</t>
  </si>
  <si>
    <t>MF rates are applicable to accounts with StrType C or D</t>
  </si>
  <si>
    <t>Just a flat rate, nothing fancy, kgal of total consumption * rate</t>
  </si>
  <si>
    <t>Property management then distributes costs to tenants, in myriad different ways!</t>
  </si>
  <si>
    <t>Residential, Single Family</t>
  </si>
  <si>
    <t>Residential, Multi Family</t>
  </si>
  <si>
    <t>cap_1</t>
  </si>
  <si>
    <t>rate_1</t>
  </si>
  <si>
    <t>cap_2</t>
  </si>
  <si>
    <t>rate_2</t>
  </si>
  <si>
    <t>cap_3</t>
  </si>
  <si>
    <t>rate_3</t>
  </si>
  <si>
    <t>Customer Category</t>
  </si>
  <si>
    <t>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</si>
</sst>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6">
    <xf numFmtId="0" fontId="0" fillId="0" borderId="0" xfId="0"/>
    <xf numFmtId="44" fontId="0" fillId="0" borderId="0" xfId="1" applyFont="1" applyFill="1" applyBorder="1"/>
    <xf numFmtId="17" fontId="0" fillId="0" borderId="0" xfId="0" applyNumberFormat="1"/>
    <xf numFmtId="0" fontId="4" fillId="0" borderId="0" xfId="0" applyFont="1" applyAlignment="1">
      <alignment horizontal="left"/>
    </xf>
    <xf numFmtId="44" fontId="0" fillId="2" borderId="0" xfId="1" applyFont="1" applyFill="1" applyBorder="1"/>
    <xf numFmtId="0" fontId="2" fillId="0" borderId="0" xfId="0" applyFont="1"/>
    <xf numFmtId="44" fontId="0" fillId="3" borderId="0" xfId="1" applyFont="1" applyFill="1" applyBorder="1"/>
    <xf numFmtId="0" fontId="0" fillId="3" borderId="0" xfId="1" applyNumberFormat="1" applyFont="1" applyFill="1" applyBorder="1"/>
    <xf numFmtId="0" fontId="0" fillId="2" borderId="0" xfId="1" applyNumberFormat="1" applyFont="1" applyFill="1" applyBorder="1"/>
    <xf numFmtId="44" fontId="0" fillId="4" borderId="0" xfId="1" applyFont="1" applyFill="1" applyBorder="1"/>
    <xf numFmtId="17" fontId="0" fillId="4" borderId="0" xfId="0" applyNumberFormat="1" applyFill="1"/>
    <xf numFmtId="17" fontId="0" fillId="5" borderId="0" xfId="0" applyNumberFormat="1" applyFill="1"/>
    <xf numFmtId="0" fontId="0" fillId="5" borderId="0" xfId="0" applyFill="1"/>
    <xf numFmtId="44" fontId="0" fillId="5" borderId="0" xfId="1" applyFont="1" applyFill="1" applyBorder="1"/>
    <xf numFmtId="0" fontId="0" fillId="0" borderId="0" xfId="0" applyAlignment="1">
      <alignment wrapText="1"/>
    </xf>
    <xf numFmtId="44" fontId="0" fillId="0" borderId="0" xfId="1" applyFont="1" applyAlignment="1">
      <alignment horizontal="right" vertical="center"/>
    </xf>
    <xf numFmtId="0" fontId="2" fillId="6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2" fillId="6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3" fontId="0" fillId="0" borderId="1" xfId="0" applyNumberFormat="1" applyBorder="1"/>
    <xf numFmtId="44" fontId="0" fillId="0" borderId="2" xfId="1" applyFont="1" applyBorder="1"/>
    <xf numFmtId="3" fontId="0" fillId="0" borderId="3" xfId="0" applyNumberFormat="1" applyBorder="1"/>
    <xf numFmtId="44" fontId="0" fillId="0" borderId="4" xfId="1" applyFont="1" applyBorder="1"/>
    <xf numFmtId="0" fontId="0" fillId="7" borderId="0" xfId="0" applyFill="1"/>
  </cellXfs>
  <cellStyles count="3">
    <cellStyle name="Currency" xfId="1" builtinId="4"/>
    <cellStyle name="Currency 2" xfId="2" xr:uid="{89222597-9633-4714-80B8-5A9A11B341D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96EA-6B15-4F7E-B590-F3A66927AA40}">
  <sheetPr>
    <tabColor theme="5"/>
  </sheetPr>
  <dimension ref="A1:H35"/>
  <sheetViews>
    <sheetView tabSelected="1" workbookViewId="0">
      <selection activeCell="M15" sqref="M15"/>
    </sheetView>
  </sheetViews>
  <sheetFormatPr defaultRowHeight="14.5" x14ac:dyDescent="0.35"/>
  <cols>
    <col min="1" max="1" width="22.7265625" bestFit="1" customWidth="1"/>
    <col min="2" max="2" width="8.7265625" style="18"/>
    <col min="3" max="3" width="7.6328125" bestFit="1" customWidth="1"/>
    <col min="4" max="4" width="11.7265625" bestFit="1" customWidth="1"/>
    <col min="5" max="5" width="7.6328125" bestFit="1" customWidth="1"/>
    <col min="6" max="6" width="11.7265625" bestFit="1" customWidth="1"/>
    <col min="7" max="7" width="7.6328125" bestFit="1" customWidth="1"/>
    <col min="8" max="8" width="11.7265625" bestFit="1" customWidth="1"/>
  </cols>
  <sheetData>
    <row r="1" spans="1:8" s="17" customFormat="1" x14ac:dyDescent="0.35">
      <c r="A1" s="16" t="s">
        <v>27</v>
      </c>
      <c r="B1" s="16" t="s">
        <v>28</v>
      </c>
      <c r="C1" s="19" t="s">
        <v>21</v>
      </c>
      <c r="D1" s="20" t="s">
        <v>22</v>
      </c>
      <c r="E1" s="19" t="s">
        <v>23</v>
      </c>
      <c r="F1" s="20" t="s">
        <v>24</v>
      </c>
      <c r="G1" s="19" t="s">
        <v>25</v>
      </c>
      <c r="H1" s="20" t="s">
        <v>26</v>
      </c>
    </row>
    <row r="2" spans="1:8" x14ac:dyDescent="0.35">
      <c r="A2" t="s">
        <v>19</v>
      </c>
      <c r="B2" s="18" cm="1">
        <f t="array" ref="B2:B13">DATE(TRANSPOSE(SingleFamily!B1:M1),1,1)</f>
        <v>40179</v>
      </c>
      <c r="C2" s="21">
        <v>6000</v>
      </c>
      <c r="D2" s="22" cm="1">
        <f t="array" ref="D2:D13">TRANSPOSE(SingleFamily!B2:M2)</f>
        <v>2.21</v>
      </c>
      <c r="E2" s="21">
        <v>20000</v>
      </c>
      <c r="F2" s="22" cm="1">
        <f t="array" ref="F2:F13">TRANSPOSE(SingleFamily!B3:M3)</f>
        <v>3.64</v>
      </c>
      <c r="G2" s="21"/>
      <c r="H2" s="22" cm="1">
        <f t="array" ref="H2:H13">TRANSPOSE(SingleFamily!B4:M4)</f>
        <v>5.39</v>
      </c>
    </row>
    <row r="3" spans="1:8" x14ac:dyDescent="0.35">
      <c r="B3" s="18">
        <v>40544</v>
      </c>
      <c r="C3" s="21">
        <v>6000</v>
      </c>
      <c r="D3" s="22">
        <v>2.29</v>
      </c>
      <c r="E3" s="21">
        <v>20000</v>
      </c>
      <c r="F3" s="22">
        <v>3.78</v>
      </c>
      <c r="G3" s="21"/>
      <c r="H3" s="22">
        <v>5.6</v>
      </c>
    </row>
    <row r="4" spans="1:8" x14ac:dyDescent="0.35">
      <c r="B4" s="18">
        <v>40909</v>
      </c>
      <c r="C4" s="21">
        <v>6000</v>
      </c>
      <c r="D4" s="22">
        <v>2.38</v>
      </c>
      <c r="E4" s="21">
        <v>20000</v>
      </c>
      <c r="F4" s="22">
        <v>3.93</v>
      </c>
      <c r="G4" s="21"/>
      <c r="H4" s="22">
        <v>5.82</v>
      </c>
    </row>
    <row r="5" spans="1:8" x14ac:dyDescent="0.35">
      <c r="B5" s="18">
        <v>41275</v>
      </c>
      <c r="C5" s="21">
        <v>6000</v>
      </c>
      <c r="D5" s="22">
        <v>2.4700000000000002</v>
      </c>
      <c r="E5" s="21">
        <v>20000</v>
      </c>
      <c r="F5" s="22">
        <v>4.08</v>
      </c>
      <c r="G5" s="21"/>
      <c r="H5" s="22">
        <v>6.05</v>
      </c>
    </row>
    <row r="6" spans="1:8" x14ac:dyDescent="0.35">
      <c r="B6" s="18">
        <v>41640</v>
      </c>
      <c r="C6" s="21">
        <v>6000</v>
      </c>
      <c r="D6" s="22">
        <v>2.56</v>
      </c>
      <c r="E6" s="21">
        <v>20000</v>
      </c>
      <c r="F6" s="22">
        <v>4.24</v>
      </c>
      <c r="G6" s="21"/>
      <c r="H6" s="22">
        <v>6.29</v>
      </c>
    </row>
    <row r="7" spans="1:8" x14ac:dyDescent="0.35">
      <c r="B7" s="18">
        <v>42005</v>
      </c>
      <c r="C7" s="21">
        <v>6000</v>
      </c>
      <c r="D7" s="22">
        <v>2.66</v>
      </c>
      <c r="E7" s="21">
        <v>20000</v>
      </c>
      <c r="F7" s="22">
        <v>4.4000000000000004</v>
      </c>
      <c r="G7" s="21"/>
      <c r="H7" s="22">
        <v>6.54</v>
      </c>
    </row>
    <row r="8" spans="1:8" x14ac:dyDescent="0.35">
      <c r="B8" s="18">
        <v>42370</v>
      </c>
      <c r="C8" s="21">
        <v>6000</v>
      </c>
      <c r="D8" s="22">
        <v>2.76</v>
      </c>
      <c r="E8" s="21">
        <v>20000</v>
      </c>
      <c r="F8" s="22">
        <v>4.57</v>
      </c>
      <c r="G8" s="21"/>
      <c r="H8" s="22">
        <v>6.8016000000000005</v>
      </c>
    </row>
    <row r="9" spans="1:8" x14ac:dyDescent="0.35">
      <c r="B9" s="18">
        <v>42736</v>
      </c>
      <c r="C9" s="21">
        <v>6000</v>
      </c>
      <c r="D9" s="22">
        <v>2.98</v>
      </c>
      <c r="E9" s="21">
        <v>20000</v>
      </c>
      <c r="F9" s="22">
        <v>4.93</v>
      </c>
      <c r="G9" s="21"/>
      <c r="H9" s="22">
        <v>7.34</v>
      </c>
    </row>
    <row r="10" spans="1:8" x14ac:dyDescent="0.35">
      <c r="B10" s="18">
        <v>43101</v>
      </c>
      <c r="C10" s="21">
        <v>6000</v>
      </c>
      <c r="D10" s="22">
        <v>3.22</v>
      </c>
      <c r="E10" s="21">
        <v>20000</v>
      </c>
      <c r="F10" s="22">
        <v>5.32</v>
      </c>
      <c r="G10" s="21"/>
      <c r="H10" s="22">
        <v>7.93</v>
      </c>
    </row>
    <row r="11" spans="1:8" x14ac:dyDescent="0.35">
      <c r="B11" s="18">
        <v>43466</v>
      </c>
      <c r="C11" s="21">
        <v>6000</v>
      </c>
      <c r="D11" s="22">
        <v>3.57</v>
      </c>
      <c r="E11" s="21">
        <v>20000</v>
      </c>
      <c r="F11" s="22">
        <v>7.35</v>
      </c>
      <c r="G11" s="21"/>
      <c r="H11" s="22">
        <v>11.62</v>
      </c>
    </row>
    <row r="12" spans="1:8" x14ac:dyDescent="0.35">
      <c r="B12" s="18">
        <v>43831</v>
      </c>
      <c r="C12" s="21">
        <v>6000</v>
      </c>
      <c r="D12" s="22">
        <v>3.96</v>
      </c>
      <c r="E12" s="21">
        <v>20000</v>
      </c>
      <c r="F12" s="22">
        <v>8.15</v>
      </c>
      <c r="G12" s="21"/>
      <c r="H12" s="22">
        <v>12.88</v>
      </c>
    </row>
    <row r="13" spans="1:8" x14ac:dyDescent="0.35">
      <c r="B13" s="18">
        <v>44197</v>
      </c>
      <c r="C13" s="21">
        <v>6000</v>
      </c>
      <c r="D13" s="22">
        <v>3.96</v>
      </c>
      <c r="E13" s="21">
        <v>20000</v>
      </c>
      <c r="F13" s="22">
        <v>8.15</v>
      </c>
      <c r="G13" s="21"/>
      <c r="H13" s="22">
        <v>12.88</v>
      </c>
    </row>
    <row r="14" spans="1:8" x14ac:dyDescent="0.35">
      <c r="B14" s="18">
        <f>SingleFamily!B6</f>
        <v>44562</v>
      </c>
      <c r="C14" s="21">
        <v>6000</v>
      </c>
      <c r="D14" s="22">
        <f>SingleFamily!B7</f>
        <v>3.96</v>
      </c>
      <c r="E14" s="21">
        <v>20000</v>
      </c>
      <c r="F14" s="22">
        <f>SingleFamily!B8</f>
        <v>8.15</v>
      </c>
      <c r="G14" s="21"/>
      <c r="H14" s="22">
        <f>SingleFamily!B9</f>
        <v>12.88</v>
      </c>
    </row>
    <row r="15" spans="1:8" x14ac:dyDescent="0.35">
      <c r="B15" s="18">
        <f>SingleFamily!B11</f>
        <v>44621</v>
      </c>
      <c r="C15" s="21">
        <v>6000</v>
      </c>
      <c r="D15" s="22">
        <f>SingleFamily!B12</f>
        <v>3.96</v>
      </c>
      <c r="E15" s="21">
        <v>20000</v>
      </c>
      <c r="F15" s="22">
        <f>SingleFamily!B13</f>
        <v>8.15</v>
      </c>
      <c r="G15" s="21"/>
      <c r="H15" s="22">
        <f>SingleFamily!B14</f>
        <v>8.15</v>
      </c>
    </row>
    <row r="16" spans="1:8" x14ac:dyDescent="0.35">
      <c r="B16" s="18">
        <f>SingleFamily!B16</f>
        <v>44713</v>
      </c>
      <c r="C16" s="21">
        <v>8000</v>
      </c>
      <c r="D16" s="22">
        <f>SingleFamily!B17</f>
        <v>3.57</v>
      </c>
      <c r="E16" s="21">
        <v>40000</v>
      </c>
      <c r="F16" s="22">
        <f>SingleFamily!B18</f>
        <v>6.52</v>
      </c>
      <c r="G16" s="21"/>
      <c r="H16" s="22">
        <f>SingleFamily!B19</f>
        <v>8.15</v>
      </c>
    </row>
    <row r="17" spans="1:8" x14ac:dyDescent="0.35">
      <c r="B17" s="18" cm="1">
        <f t="array" ref="B17:B19">DATE(TRANSPOSE(SingleFamily!B21:D21),1,1)</f>
        <v>44927</v>
      </c>
      <c r="C17" s="21">
        <v>8000</v>
      </c>
      <c r="D17" s="22" cm="1">
        <f t="array" ref="D17:D19">TRANSPOSE(SingleFamily!B22:D22)</f>
        <v>3.7128000000000001</v>
      </c>
      <c r="E17" s="21">
        <v>40000</v>
      </c>
      <c r="F17" s="22" cm="1">
        <f t="array" ref="F17:F19">TRANSPOSE(SingleFamily!B23:D23)</f>
        <v>6.7808000000000002</v>
      </c>
      <c r="G17" s="21"/>
      <c r="H17" s="22" cm="1">
        <f t="array" ref="H17:H19">TRANSPOSE(SingleFamily!B24:D24)</f>
        <v>8.4760000000000009</v>
      </c>
    </row>
    <row r="18" spans="1:8" x14ac:dyDescent="0.35">
      <c r="B18" s="18">
        <v>45292</v>
      </c>
      <c r="C18" s="21">
        <v>8000</v>
      </c>
      <c r="D18" s="22">
        <v>3.8798759999999999</v>
      </c>
      <c r="E18" s="21">
        <v>40000</v>
      </c>
      <c r="F18" s="22">
        <v>7.0859359999999993</v>
      </c>
      <c r="G18" s="21"/>
      <c r="H18" s="22">
        <v>8.8574200000000012</v>
      </c>
    </row>
    <row r="19" spans="1:8" x14ac:dyDescent="0.35">
      <c r="B19" s="18">
        <v>45658</v>
      </c>
      <c r="C19" s="21">
        <v>8000</v>
      </c>
      <c r="D19" s="22">
        <v>4.0350710400000001</v>
      </c>
      <c r="E19" s="21">
        <v>40000</v>
      </c>
      <c r="F19" s="22">
        <v>7.3693734400000004</v>
      </c>
      <c r="G19" s="21"/>
      <c r="H19" s="22">
        <v>9.2117167999999996</v>
      </c>
    </row>
    <row r="20" spans="1:8" x14ac:dyDescent="0.35">
      <c r="A20" t="s">
        <v>20</v>
      </c>
      <c r="B20" s="18" cm="1">
        <f t="array" ref="B20:B35">DATE(TRANSPOSE(MultiFamily!B1:Q1),1,1)</f>
        <v>40179</v>
      </c>
      <c r="C20" s="21"/>
      <c r="D20" s="22" cm="1">
        <f t="array" ref="D20:D35">TRANSPOSE(MultiFamily!B2:Q2)</f>
        <v>4.5199999999999996</v>
      </c>
      <c r="E20" s="21"/>
      <c r="F20" s="22"/>
      <c r="G20" s="21"/>
      <c r="H20" s="22"/>
    </row>
    <row r="21" spans="1:8" x14ac:dyDescent="0.35">
      <c r="B21" s="18">
        <v>40544</v>
      </c>
      <c r="C21" s="21"/>
      <c r="D21" s="22">
        <v>4.7</v>
      </c>
      <c r="E21" s="21"/>
      <c r="F21" s="22"/>
      <c r="G21" s="21"/>
      <c r="H21" s="22"/>
    </row>
    <row r="22" spans="1:8" x14ac:dyDescent="0.35">
      <c r="B22" s="18">
        <v>40909</v>
      </c>
      <c r="C22" s="21"/>
      <c r="D22" s="22">
        <v>4.88</v>
      </c>
      <c r="E22" s="21"/>
      <c r="F22" s="22"/>
      <c r="G22" s="21"/>
      <c r="H22" s="22"/>
    </row>
    <row r="23" spans="1:8" x14ac:dyDescent="0.35">
      <c r="B23" s="18">
        <v>41275</v>
      </c>
      <c r="C23" s="21"/>
      <c r="D23" s="22">
        <v>5.07</v>
      </c>
      <c r="E23" s="21"/>
      <c r="F23" s="22"/>
      <c r="G23" s="21"/>
      <c r="H23" s="22"/>
    </row>
    <row r="24" spans="1:8" x14ac:dyDescent="0.35">
      <c r="B24" s="18">
        <v>41640</v>
      </c>
      <c r="C24" s="21"/>
      <c r="D24" s="22">
        <v>5.27</v>
      </c>
      <c r="E24" s="21"/>
      <c r="F24" s="22"/>
      <c r="G24" s="21"/>
      <c r="H24" s="22"/>
    </row>
    <row r="25" spans="1:8" x14ac:dyDescent="0.35">
      <c r="B25" s="18">
        <v>42005</v>
      </c>
      <c r="C25" s="21"/>
      <c r="D25" s="22">
        <v>5.48</v>
      </c>
      <c r="E25" s="21"/>
      <c r="F25" s="22"/>
      <c r="G25" s="21"/>
      <c r="H25" s="22"/>
    </row>
    <row r="26" spans="1:8" x14ac:dyDescent="0.35">
      <c r="B26" s="18">
        <v>42370</v>
      </c>
      <c r="C26" s="21"/>
      <c r="D26" s="22">
        <v>5.69</v>
      </c>
      <c r="E26" s="21"/>
      <c r="F26" s="22"/>
      <c r="G26" s="21"/>
      <c r="H26" s="22"/>
    </row>
    <row r="27" spans="1:8" x14ac:dyDescent="0.35">
      <c r="B27" s="18">
        <v>42736</v>
      </c>
      <c r="C27" s="21"/>
      <c r="D27" s="22">
        <v>6.14</v>
      </c>
      <c r="E27" s="21"/>
      <c r="F27" s="22"/>
      <c r="G27" s="21"/>
      <c r="H27" s="22"/>
    </row>
    <row r="28" spans="1:8" x14ac:dyDescent="0.35">
      <c r="B28" s="18">
        <v>43101</v>
      </c>
      <c r="C28" s="21"/>
      <c r="D28" s="22">
        <v>6.63</v>
      </c>
      <c r="E28" s="21"/>
      <c r="F28" s="22"/>
      <c r="G28" s="21"/>
      <c r="H28" s="22"/>
    </row>
    <row r="29" spans="1:8" x14ac:dyDescent="0.35">
      <c r="B29" s="18">
        <v>43466</v>
      </c>
      <c r="C29" s="21"/>
      <c r="D29" s="22">
        <v>7.11</v>
      </c>
      <c r="E29" s="21"/>
      <c r="F29" s="22"/>
      <c r="G29" s="21"/>
      <c r="H29" s="22"/>
    </row>
    <row r="30" spans="1:8" x14ac:dyDescent="0.35">
      <c r="B30" s="18">
        <v>43831</v>
      </c>
      <c r="C30" s="21"/>
      <c r="D30" s="22">
        <v>7.55</v>
      </c>
      <c r="E30" s="21"/>
      <c r="F30" s="22"/>
      <c r="G30" s="21"/>
      <c r="H30" s="22"/>
    </row>
    <row r="31" spans="1:8" x14ac:dyDescent="0.35">
      <c r="B31" s="18">
        <v>44197</v>
      </c>
      <c r="C31" s="21"/>
      <c r="D31" s="22">
        <v>7.55</v>
      </c>
      <c r="E31" s="21"/>
      <c r="F31" s="22"/>
      <c r="G31" s="21"/>
      <c r="H31" s="22"/>
    </row>
    <row r="32" spans="1:8" x14ac:dyDescent="0.35">
      <c r="B32" s="18">
        <v>44562</v>
      </c>
      <c r="C32" s="21"/>
      <c r="D32" s="22">
        <v>7.55</v>
      </c>
      <c r="E32" s="21"/>
      <c r="F32" s="22"/>
      <c r="G32" s="21"/>
      <c r="H32" s="22"/>
    </row>
    <row r="33" spans="2:8" x14ac:dyDescent="0.35">
      <c r="B33" s="18">
        <v>44927</v>
      </c>
      <c r="C33" s="21"/>
      <c r="D33" s="22">
        <v>7.85</v>
      </c>
      <c r="E33" s="21"/>
      <c r="F33" s="22"/>
      <c r="G33" s="21"/>
      <c r="H33" s="22"/>
    </row>
    <row r="34" spans="2:8" x14ac:dyDescent="0.35">
      <c r="B34" s="18">
        <v>45292</v>
      </c>
      <c r="C34" s="21"/>
      <c r="D34" s="22">
        <v>8.2100000000000009</v>
      </c>
      <c r="E34" s="21"/>
      <c r="F34" s="22"/>
      <c r="G34" s="21"/>
      <c r="H34" s="22"/>
    </row>
    <row r="35" spans="2:8" x14ac:dyDescent="0.35">
      <c r="B35" s="18">
        <v>45658</v>
      </c>
      <c r="C35" s="23"/>
      <c r="D35" s="24">
        <v>8.5299999999999994</v>
      </c>
      <c r="E35" s="23"/>
      <c r="F35" s="24"/>
      <c r="G35" s="23"/>
      <c r="H35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E05AF-B576-4336-90E5-F96604FF0ED9}">
  <dimension ref="A1:M27"/>
  <sheetViews>
    <sheetView workbookViewId="0">
      <selection activeCell="G18" sqref="G18"/>
    </sheetView>
  </sheetViews>
  <sheetFormatPr defaultColWidth="9" defaultRowHeight="14.5" x14ac:dyDescent="0.35"/>
  <cols>
    <col min="1" max="1" width="30.36328125" bestFit="1" customWidth="1"/>
    <col min="6" max="6" width="10.08984375" bestFit="1" customWidth="1"/>
  </cols>
  <sheetData>
    <row r="1" spans="1:13" x14ac:dyDescent="0.35"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</row>
    <row r="2" spans="1:13" x14ac:dyDescent="0.35">
      <c r="A2" t="s">
        <v>0</v>
      </c>
      <c r="B2" s="1">
        <v>2.21</v>
      </c>
      <c r="C2" s="1">
        <v>2.29</v>
      </c>
      <c r="D2" s="1">
        <v>2.38</v>
      </c>
      <c r="E2" s="1">
        <v>2.4700000000000002</v>
      </c>
      <c r="F2" s="1">
        <v>2.56</v>
      </c>
      <c r="G2" s="1">
        <v>2.66</v>
      </c>
      <c r="H2" s="1">
        <v>2.76</v>
      </c>
      <c r="I2" s="1">
        <v>2.98</v>
      </c>
      <c r="J2" s="1">
        <v>3.22</v>
      </c>
      <c r="K2" s="1">
        <v>3.57</v>
      </c>
      <c r="L2" s="1">
        <v>3.96</v>
      </c>
      <c r="M2" s="1">
        <v>3.96</v>
      </c>
    </row>
    <row r="3" spans="1:13" x14ac:dyDescent="0.35">
      <c r="A3" t="s">
        <v>1</v>
      </c>
      <c r="B3" s="1">
        <v>3.64</v>
      </c>
      <c r="C3" s="1">
        <v>3.78</v>
      </c>
      <c r="D3" s="1">
        <v>3.93</v>
      </c>
      <c r="E3" s="1">
        <v>4.08</v>
      </c>
      <c r="F3" s="1">
        <v>4.24</v>
      </c>
      <c r="G3" s="1">
        <v>4.4000000000000004</v>
      </c>
      <c r="H3" s="1">
        <v>4.57</v>
      </c>
      <c r="I3" s="1">
        <v>4.93</v>
      </c>
      <c r="J3" s="1">
        <v>5.32</v>
      </c>
      <c r="K3" s="6">
        <v>7.35</v>
      </c>
      <c r="L3" s="1">
        <v>8.15</v>
      </c>
      <c r="M3" s="4">
        <v>8.15</v>
      </c>
    </row>
    <row r="4" spans="1:13" x14ac:dyDescent="0.35">
      <c r="A4" t="s">
        <v>2</v>
      </c>
      <c r="B4" s="1">
        <v>5.39</v>
      </c>
      <c r="C4" s="1">
        <v>5.6</v>
      </c>
      <c r="D4" s="1">
        <v>5.82</v>
      </c>
      <c r="E4" s="1">
        <v>6.05</v>
      </c>
      <c r="F4" s="1">
        <v>6.29</v>
      </c>
      <c r="G4" s="1">
        <v>6.54</v>
      </c>
      <c r="H4" s="1">
        <v>6.8016000000000005</v>
      </c>
      <c r="I4" s="1">
        <v>7.34</v>
      </c>
      <c r="J4" s="1">
        <v>7.93</v>
      </c>
      <c r="K4" s="6">
        <v>11.62</v>
      </c>
      <c r="L4" s="1">
        <v>12.88</v>
      </c>
      <c r="M4" s="4">
        <v>12.88</v>
      </c>
    </row>
    <row r="6" spans="1:13" x14ac:dyDescent="0.35">
      <c r="B6" s="2">
        <v>44562</v>
      </c>
    </row>
    <row r="7" spans="1:13" x14ac:dyDescent="0.35">
      <c r="A7" t="s">
        <v>0</v>
      </c>
      <c r="B7" s="1">
        <v>3.96</v>
      </c>
      <c r="D7" s="5" t="s">
        <v>3</v>
      </c>
    </row>
    <row r="8" spans="1:13" x14ac:dyDescent="0.35">
      <c r="A8" t="s">
        <v>1</v>
      </c>
      <c r="B8" s="1">
        <v>8.15</v>
      </c>
      <c r="D8" s="7">
        <v>2019</v>
      </c>
      <c r="E8" t="s">
        <v>4</v>
      </c>
    </row>
    <row r="9" spans="1:13" x14ac:dyDescent="0.35">
      <c r="A9" t="s">
        <v>2</v>
      </c>
      <c r="B9" s="1">
        <v>12.88</v>
      </c>
      <c r="D9" s="8">
        <v>2021</v>
      </c>
      <c r="E9" t="s">
        <v>5</v>
      </c>
    </row>
    <row r="10" spans="1:13" x14ac:dyDescent="0.35">
      <c r="D10" s="10">
        <v>44621</v>
      </c>
      <c r="E10" t="s">
        <v>6</v>
      </c>
    </row>
    <row r="11" spans="1:13" x14ac:dyDescent="0.35">
      <c r="B11" s="2">
        <v>44621</v>
      </c>
      <c r="D11" s="11">
        <v>44713</v>
      </c>
      <c r="E11" t="s">
        <v>7</v>
      </c>
    </row>
    <row r="12" spans="1:13" x14ac:dyDescent="0.35">
      <c r="A12" t="s">
        <v>0</v>
      </c>
      <c r="B12" s="1">
        <v>3.96</v>
      </c>
    </row>
    <row r="13" spans="1:13" x14ac:dyDescent="0.35">
      <c r="A13" t="s">
        <v>1</v>
      </c>
      <c r="B13" s="1">
        <v>8.15</v>
      </c>
    </row>
    <row r="14" spans="1:13" x14ac:dyDescent="0.35">
      <c r="A14" t="s">
        <v>2</v>
      </c>
      <c r="B14" s="9">
        <v>8.15</v>
      </c>
      <c r="G14" t="s">
        <v>11</v>
      </c>
    </row>
    <row r="15" spans="1:13" x14ac:dyDescent="0.35">
      <c r="G15" t="s">
        <v>12</v>
      </c>
    </row>
    <row r="16" spans="1:13" x14ac:dyDescent="0.35">
      <c r="B16" s="2">
        <v>44713</v>
      </c>
      <c r="G16" s="25" t="s">
        <v>14</v>
      </c>
    </row>
    <row r="17" spans="1:7" x14ac:dyDescent="0.35">
      <c r="A17" s="12" t="s">
        <v>8</v>
      </c>
      <c r="B17" s="13">
        <v>3.57</v>
      </c>
      <c r="G17" t="s">
        <v>13</v>
      </c>
    </row>
    <row r="18" spans="1:7" x14ac:dyDescent="0.35">
      <c r="A18" s="12" t="s">
        <v>9</v>
      </c>
      <c r="B18" s="13">
        <v>6.52</v>
      </c>
    </row>
    <row r="19" spans="1:7" x14ac:dyDescent="0.35">
      <c r="A19" s="12" t="s">
        <v>10</v>
      </c>
      <c r="B19" s="13">
        <v>8.15</v>
      </c>
    </row>
    <row r="21" spans="1:7" x14ac:dyDescent="0.35">
      <c r="B21">
        <v>2023</v>
      </c>
      <c r="C21">
        <v>2024</v>
      </c>
      <c r="D21">
        <v>2025</v>
      </c>
    </row>
    <row r="22" spans="1:7" x14ac:dyDescent="0.35">
      <c r="A22" s="3" t="s">
        <v>8</v>
      </c>
      <c r="B22" s="1">
        <f>3.57*1.04</f>
        <v>3.7128000000000001</v>
      </c>
      <c r="C22" s="1">
        <f>3.7128*1.045</f>
        <v>3.8798759999999999</v>
      </c>
      <c r="D22" s="1">
        <f>3.879876*1.04</f>
        <v>4.0350710400000001</v>
      </c>
    </row>
    <row r="23" spans="1:7" x14ac:dyDescent="0.35">
      <c r="A23" s="3" t="s">
        <v>9</v>
      </c>
      <c r="B23" s="1">
        <f>6.52*1.04</f>
        <v>6.7808000000000002</v>
      </c>
      <c r="C23" s="1">
        <f>6.7808*1.045</f>
        <v>7.0859359999999993</v>
      </c>
      <c r="D23" s="1">
        <f>7.085936*1.04</f>
        <v>7.3693734400000004</v>
      </c>
    </row>
    <row r="24" spans="1:7" x14ac:dyDescent="0.35">
      <c r="A24" s="3" t="s">
        <v>10</v>
      </c>
      <c r="B24" s="1">
        <f>8.15*1.04</f>
        <v>8.4760000000000009</v>
      </c>
      <c r="C24" s="1">
        <f>8.476*1.045</f>
        <v>8.8574200000000012</v>
      </c>
      <c r="D24" s="1">
        <f>8.85742*1.04</f>
        <v>9.2117167999999996</v>
      </c>
    </row>
    <row r="25" spans="1:7" x14ac:dyDescent="0.35">
      <c r="B25" s="1"/>
      <c r="C25" s="1"/>
      <c r="D25" s="1"/>
      <c r="F25" s="1"/>
    </row>
    <row r="26" spans="1:7" x14ac:dyDescent="0.35">
      <c r="F26" s="1"/>
    </row>
    <row r="27" spans="1:7" x14ac:dyDescent="0.35">
      <c r="F2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9540D-AAD1-4884-A298-B1A224CFF7A1}">
  <dimension ref="A1:Q6"/>
  <sheetViews>
    <sheetView workbookViewId="0">
      <selection activeCell="B7" sqref="B7"/>
    </sheetView>
  </sheetViews>
  <sheetFormatPr defaultRowHeight="14.5" x14ac:dyDescent="0.35"/>
  <cols>
    <col min="1" max="1" width="27.7265625" customWidth="1"/>
  </cols>
  <sheetData>
    <row r="1" spans="1:17" x14ac:dyDescent="0.35"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</row>
    <row r="2" spans="1:17" ht="43.5" x14ac:dyDescent="0.35">
      <c r="A2" s="14" t="s">
        <v>15</v>
      </c>
      <c r="B2" s="15">
        <v>4.5199999999999996</v>
      </c>
      <c r="C2" s="15">
        <v>4.7</v>
      </c>
      <c r="D2" s="15">
        <v>4.88</v>
      </c>
      <c r="E2" s="15">
        <v>5.07</v>
      </c>
      <c r="F2" s="15">
        <v>5.27</v>
      </c>
      <c r="G2" s="15">
        <v>5.48</v>
      </c>
      <c r="H2" s="15">
        <v>5.69</v>
      </c>
      <c r="I2" s="15">
        <v>6.14</v>
      </c>
      <c r="J2" s="15">
        <v>6.63</v>
      </c>
      <c r="K2" s="15">
        <v>7.11</v>
      </c>
      <c r="L2" s="15">
        <v>7.55</v>
      </c>
      <c r="M2" s="15">
        <v>7.55</v>
      </c>
      <c r="N2" s="15">
        <v>7.55</v>
      </c>
      <c r="O2" s="15">
        <v>7.85</v>
      </c>
      <c r="P2" s="15">
        <v>8.2100000000000009</v>
      </c>
      <c r="Q2" s="15">
        <v>8.5299999999999994</v>
      </c>
    </row>
    <row r="4" spans="1:17" x14ac:dyDescent="0.35">
      <c r="B4" t="s">
        <v>16</v>
      </c>
    </row>
    <row r="5" spans="1:17" x14ac:dyDescent="0.35">
      <c r="B5" t="s">
        <v>17</v>
      </c>
    </row>
    <row r="6" spans="1:17" x14ac:dyDescent="0.35">
      <c r="B6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738bc9-97b6-4aea-9722-c8130ccafb9b" xsi:nil="true"/>
    <lcf76f155ced4ddcb4097134ff3c332f xmlns="43e0f7cf-9242-4a2b-99ce-72db65c8030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E869ECB1E35142B7986647353A6071" ma:contentTypeVersion="16" ma:contentTypeDescription="Create a new document." ma:contentTypeScope="" ma:versionID="cbcba10418e375a4867da0970ef9eaff">
  <xsd:schema xmlns:xsd="http://www.w3.org/2001/XMLSchema" xmlns:xs="http://www.w3.org/2001/XMLSchema" xmlns:p="http://schemas.microsoft.com/office/2006/metadata/properties" xmlns:ns2="43e0f7cf-9242-4a2b-99ce-72db65c8030e" xmlns:ns3="68738bc9-97b6-4aea-9722-c8130ccafb9b" targetNamespace="http://schemas.microsoft.com/office/2006/metadata/properties" ma:root="true" ma:fieldsID="d5f766f5a5c1c31e68546498d07283b9" ns2:_="" ns3:_="">
    <xsd:import namespace="43e0f7cf-9242-4a2b-99ce-72db65c8030e"/>
    <xsd:import namespace="68738bc9-97b6-4aea-9722-c8130ccafb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0f7cf-9242-4a2b-99ce-72db65c803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2802cc5-2881-4dd7-9d75-38905e9cf7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38bc9-97b6-4aea-9722-c8130ccafb9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c0264ca-9971-4f5d-81f2-18f17dfddebb}" ma:internalName="TaxCatchAll" ma:showField="CatchAllData" ma:web="68738bc9-97b6-4aea-9722-c8130ccafb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436099-1549-4141-BB42-1C055EF25A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3F04D6-3455-4156-B2D9-26364E1CC39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infopath/2007/PartnerControls"/>
    <ds:schemaRef ds:uri="43e0f7cf-9242-4a2b-99ce-72db65c8030e"/>
    <ds:schemaRef ds:uri="68738bc9-97b6-4aea-9722-c8130ccafb9b"/>
  </ds:schemaRefs>
</ds:datastoreItem>
</file>

<file path=customXml/itemProps3.xml><?xml version="1.0" encoding="utf-8"?>
<ds:datastoreItem xmlns:ds="http://schemas.openxmlformats.org/officeDocument/2006/customXml" ds:itemID="{07BDBBFC-15D5-4CBC-B752-E8465775A9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e0f7cf-9242-4a2b-99ce-72db65c8030e"/>
    <ds:schemaRef ds:uri="68738bc9-97b6-4aea-9722-c8130ccafb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Import-Prep</vt:lpstr>
      <vt:lpstr>SingleFamily</vt:lpstr>
      <vt:lpstr>MultiFamily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Beckwith, Drew</dc:creator>
  <cp:keywords/>
  <dc:description/>
  <cp:lastModifiedBy>Jade Foley-Pike</cp:lastModifiedBy>
  <cp:revision/>
  <dcterms:created xsi:type="dcterms:W3CDTF">2025-09-22T15:17:56Z</dcterms:created>
  <dcterms:modified xsi:type="dcterms:W3CDTF">2026-01-14T23:45:51Z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0x01010095E869ECB1E35142B7986647353A6071</vt:lpwstr>
  </property>
  <property fmtid="{D5CDD505-2E9C-101B-9397-08002B2CF9AE}" pid="3" name="MediaServiceImageTags">
    <vt:lpwstr/>
  </property>
</Properties>
</file>